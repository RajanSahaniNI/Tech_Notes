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an\Desktop\MCA SEM3 ALL WORK\Backend Practical\"/>
    </mc:Choice>
  </mc:AlternateContent>
  <xr:revisionPtr revIDLastSave="0" documentId="13_ncr:1_{F1A16BE5-8DC3-40F6-8204-D8E59ADB63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ary Records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/>
  <c r="N2" i="3" s="1"/>
  <c r="J2" i="3"/>
  <c r="K2" i="3"/>
  <c r="L2" i="3"/>
  <c r="M2" i="3"/>
  <c r="Q2" i="3"/>
  <c r="I3" i="3"/>
  <c r="N3" i="3" s="1"/>
  <c r="J3" i="3"/>
  <c r="K3" i="3"/>
  <c r="L3" i="3"/>
  <c r="M3" i="3"/>
  <c r="Q3" i="3"/>
  <c r="I4" i="3"/>
  <c r="N4" i="3" s="1"/>
  <c r="J4" i="3"/>
  <c r="K4" i="3"/>
  <c r="L4" i="3"/>
  <c r="M4" i="3"/>
  <c r="Q4" i="3"/>
  <c r="I5" i="3"/>
  <c r="O5" i="3" s="1"/>
  <c r="R5" i="3" s="1"/>
  <c r="J5" i="3"/>
  <c r="K5" i="3"/>
  <c r="L5" i="3"/>
  <c r="M5" i="3"/>
  <c r="Q5" i="3"/>
  <c r="I6" i="3"/>
  <c r="J6" i="3"/>
  <c r="N6" i="3" s="1"/>
  <c r="K6" i="3"/>
  <c r="L6" i="3"/>
  <c r="M6" i="3"/>
  <c r="O6" i="3"/>
  <c r="R6" i="3" s="1"/>
  <c r="Q6" i="3"/>
  <c r="Q6" i="1"/>
  <c r="M6" i="1"/>
  <c r="L6" i="1"/>
  <c r="K6" i="1"/>
  <c r="J6" i="1"/>
  <c r="I6" i="1"/>
  <c r="O6" i="1" s="1"/>
  <c r="R6" i="1" s="1"/>
  <c r="S6" i="1" s="1"/>
  <c r="Q5" i="1"/>
  <c r="M5" i="1"/>
  <c r="L5" i="1"/>
  <c r="K5" i="1"/>
  <c r="J5" i="1"/>
  <c r="I5" i="1"/>
  <c r="O5" i="1" s="1"/>
  <c r="R5" i="1" s="1"/>
  <c r="S5" i="1" s="1"/>
  <c r="Q4" i="1"/>
  <c r="M4" i="1"/>
  <c r="L4" i="1"/>
  <c r="K4" i="1"/>
  <c r="J4" i="1"/>
  <c r="I4" i="1"/>
  <c r="O4" i="1" s="1"/>
  <c r="R4" i="1" s="1"/>
  <c r="S4" i="1" s="1"/>
  <c r="Q3" i="1"/>
  <c r="O3" i="1"/>
  <c r="R3" i="1" s="1"/>
  <c r="S3" i="1" s="1"/>
  <c r="M3" i="1"/>
  <c r="L3" i="1"/>
  <c r="K3" i="1"/>
  <c r="J3" i="1"/>
  <c r="N3" i="1" s="1"/>
  <c r="I3" i="1"/>
  <c r="Q2" i="1"/>
  <c r="O2" i="1"/>
  <c r="R2" i="1" s="1"/>
  <c r="S2" i="1" s="1"/>
  <c r="M2" i="1"/>
  <c r="L2" i="1"/>
  <c r="N2" i="1" s="1"/>
  <c r="K2" i="1"/>
  <c r="J2" i="1"/>
  <c r="I2" i="1"/>
  <c r="N5" i="3" l="1"/>
  <c r="O4" i="3"/>
  <c r="R4" i="3" s="1"/>
  <c r="O3" i="3"/>
  <c r="R3" i="3" s="1"/>
  <c r="O2" i="3"/>
  <c r="R2" i="3" s="1"/>
  <c r="N4" i="1"/>
  <c r="N5" i="1"/>
  <c r="N6" i="1"/>
</calcChain>
</file>

<file path=xl/sharedStrings.xml><?xml version="1.0" encoding="utf-8"?>
<sst xmlns="http://schemas.openxmlformats.org/spreadsheetml/2006/main" count="98" uniqueCount="51">
  <si>
    <t>Emp_ID</t>
  </si>
  <si>
    <t>Emp_Name</t>
  </si>
  <si>
    <t>Email</t>
  </si>
  <si>
    <t>Department</t>
  </si>
  <si>
    <t>Role</t>
  </si>
  <si>
    <t>Status</t>
  </si>
  <si>
    <t>Month</t>
  </si>
  <si>
    <t>Gross Salary</t>
  </si>
  <si>
    <t>Basic_Pay</t>
  </si>
  <si>
    <t>HRA</t>
  </si>
  <si>
    <t>DA</t>
  </si>
  <si>
    <t>TA</t>
  </si>
  <si>
    <t>Medical</t>
  </si>
  <si>
    <t>SA</t>
  </si>
  <si>
    <t>PF</t>
  </si>
  <si>
    <t>PT</t>
  </si>
  <si>
    <t>Income Tax</t>
  </si>
  <si>
    <t>Total Deductions</t>
  </si>
  <si>
    <t>Net Salary</t>
  </si>
  <si>
    <t>Rahul Bawa</t>
  </si>
  <si>
    <t>Engineering</t>
  </si>
  <si>
    <t>Software Engineer</t>
  </si>
  <si>
    <t>Active</t>
  </si>
  <si>
    <t>July 2026</t>
  </si>
  <si>
    <t>Yogesh Verma</t>
  </si>
  <si>
    <t>HR</t>
  </si>
  <si>
    <t>HR Executive</t>
  </si>
  <si>
    <t>Yuvraj Verma</t>
  </si>
  <si>
    <t>Finance</t>
  </si>
  <si>
    <t>Accountant</t>
  </si>
  <si>
    <t>Rajan Nishad</t>
  </si>
  <si>
    <t>Marketing</t>
  </si>
  <si>
    <t>Data Analyst</t>
  </si>
  <si>
    <t>Rohit Singh</t>
  </si>
  <si>
    <t>Sales</t>
  </si>
  <si>
    <t>Sales Executive</t>
  </si>
  <si>
    <t>Karan Mehta</t>
  </si>
  <si>
    <t>Neha Gupta</t>
  </si>
  <si>
    <t>Rahul Verma</t>
  </si>
  <si>
    <t>Priya Singh</t>
  </si>
  <si>
    <t>Aarav Sharma</t>
  </si>
  <si>
    <t>aaravsharma@gmail.com</t>
  </si>
  <si>
    <t>priyasingh@gmail.com</t>
  </si>
  <si>
    <t>rahulverma@gmail.com</t>
  </si>
  <si>
    <t>nehagupta@gmail.com</t>
  </si>
  <si>
    <t>karanmehta@gmail.com</t>
  </si>
  <si>
    <t>rahulbawa@gmail.com</t>
  </si>
  <si>
    <t>yogesh@gmail.com</t>
  </si>
  <si>
    <t>yuvraj12@gmail.com</t>
  </si>
  <si>
    <t>rajan123@gmail.com</t>
  </si>
  <si>
    <t>rohitsingh@gmail.com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</si>
</sst>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uvraj12@example.com" TargetMode="External"/><Relationship Id="rId2" Type="http://schemas.openxmlformats.org/officeDocument/2006/relationships/hyperlink" Target="mailto:yogesh@example.com" TargetMode="External"/><Relationship Id="rId1" Type="http://schemas.openxmlformats.org/officeDocument/2006/relationships/hyperlink" Target="mailto:rahulbawa@example.com" TargetMode="External"/><Relationship Id="rId5" Type="http://schemas.openxmlformats.org/officeDocument/2006/relationships/hyperlink" Target="mailto:rohitsingh@example.com" TargetMode="External"/><Relationship Id="rId4" Type="http://schemas.openxmlformats.org/officeDocument/2006/relationships/hyperlink" Target="mailto:rajan123@exampl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verma@example.com" TargetMode="External"/><Relationship Id="rId2" Type="http://schemas.openxmlformats.org/officeDocument/2006/relationships/hyperlink" Target="mailto:priyasingh@example.com" TargetMode="External"/><Relationship Id="rId1" Type="http://schemas.openxmlformats.org/officeDocument/2006/relationships/hyperlink" Target="mailto:aaravsharma@example.com" TargetMode="External"/><Relationship Id="rId5" Type="http://schemas.openxmlformats.org/officeDocument/2006/relationships/hyperlink" Target="mailto:karanmehta@example.com" TargetMode="External"/><Relationship Id="rId4" Type="http://schemas.openxmlformats.org/officeDocument/2006/relationships/hyperlink" Target="mailto:nehagupt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workbookViewId="0">
      <selection activeCell="R4" sqref="R4"/>
    </sheetView>
  </sheetViews>
  <sheetFormatPr defaultRowHeight="14.4" x14ac:dyDescent="0.3"/>
  <cols>
    <col min="1" max="1" width="8" customWidth="1"/>
    <col min="2" max="2" width="13.109375" customWidth="1"/>
    <col min="3" max="3" width="24.21875" customWidth="1"/>
    <col min="4" max="4" width="11.33203125" customWidth="1"/>
    <col min="5" max="5" width="18" customWidth="1"/>
    <col min="7" max="7" width="8.88671875" customWidth="1"/>
    <col min="8" max="8" width="13.21875" customWidth="1"/>
    <col min="9" max="9" width="11" customWidth="1"/>
    <col min="12" max="12" width="8.44140625" customWidth="1"/>
    <col min="13" max="13" width="11.44140625" bestFit="1" customWidth="1"/>
    <col min="14" max="14" width="8.21875" customWidth="1"/>
    <col min="15" max="15" width="7.44140625" customWidth="1"/>
    <col min="17" max="17" width="10.88671875" customWidth="1"/>
    <col min="18" max="18" width="14.6640625" customWidth="1"/>
    <col min="19" max="19" width="10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s="1" t="s">
        <v>46</v>
      </c>
      <c r="D2" t="s">
        <v>20</v>
      </c>
      <c r="E2" t="s">
        <v>21</v>
      </c>
      <c r="F2" t="s">
        <v>22</v>
      </c>
      <c r="G2" t="s">
        <v>23</v>
      </c>
      <c r="H2">
        <v>65000</v>
      </c>
      <c r="I2">
        <f>H2*40%</f>
        <v>26000</v>
      </c>
      <c r="J2">
        <f>H2*20%</f>
        <v>13000</v>
      </c>
      <c r="K2">
        <f>H2*15%</f>
        <v>9750</v>
      </c>
      <c r="L2">
        <f>H2*10%</f>
        <v>6500</v>
      </c>
      <c r="M2">
        <f>H2*5%</f>
        <v>3250</v>
      </c>
      <c r="N2">
        <f>H2-(I2+J2+K2+L2+M2)</f>
        <v>6500</v>
      </c>
      <c r="O2">
        <f>I2*12%</f>
        <v>3120</v>
      </c>
      <c r="P2">
        <v>200</v>
      </c>
      <c r="Q2">
        <f>H2*5%</f>
        <v>3250</v>
      </c>
      <c r="R2">
        <f>O2+P2+Q2</f>
        <v>6570</v>
      </c>
      <c r="S2">
        <f>H2-R2</f>
        <v>58430</v>
      </c>
    </row>
    <row r="3" spans="1:19" x14ac:dyDescent="0.3">
      <c r="A3">
        <v>2</v>
      </c>
      <c r="B3" t="s">
        <v>24</v>
      </c>
      <c r="C3" s="1" t="s">
        <v>47</v>
      </c>
      <c r="D3" t="s">
        <v>25</v>
      </c>
      <c r="E3" t="s">
        <v>26</v>
      </c>
      <c r="F3" t="s">
        <v>22</v>
      </c>
      <c r="G3" t="s">
        <v>23</v>
      </c>
      <c r="H3">
        <v>55000</v>
      </c>
      <c r="I3">
        <f>H3*40%</f>
        <v>22000</v>
      </c>
      <c r="J3">
        <f>H3*20%</f>
        <v>11000</v>
      </c>
      <c r="K3">
        <f>H3*15%</f>
        <v>8250</v>
      </c>
      <c r="L3">
        <f>H3*10%</f>
        <v>5500</v>
      </c>
      <c r="M3">
        <f>H3*5%</f>
        <v>2750</v>
      </c>
      <c r="N3">
        <f>H3-(I3+J3+K3+L3+M3)</f>
        <v>5500</v>
      </c>
      <c r="O3">
        <f>I3*12%</f>
        <v>2640</v>
      </c>
      <c r="P3">
        <v>200</v>
      </c>
      <c r="Q3">
        <f>H3*5%</f>
        <v>2750</v>
      </c>
      <c r="R3">
        <f>O3+P3+Q3</f>
        <v>5590</v>
      </c>
      <c r="S3">
        <f>H3-R3</f>
        <v>49410</v>
      </c>
    </row>
    <row r="4" spans="1:19" x14ac:dyDescent="0.3">
      <c r="A4">
        <v>3</v>
      </c>
      <c r="B4" t="s">
        <v>27</v>
      </c>
      <c r="C4" s="1" t="s">
        <v>48</v>
      </c>
      <c r="D4" t="s">
        <v>28</v>
      </c>
      <c r="E4" t="s">
        <v>29</v>
      </c>
      <c r="F4" t="s">
        <v>22</v>
      </c>
      <c r="G4" t="s">
        <v>23</v>
      </c>
      <c r="H4">
        <v>67000</v>
      </c>
      <c r="I4">
        <f>H4*40%</f>
        <v>26800</v>
      </c>
      <c r="J4">
        <f>H4*20%</f>
        <v>13400</v>
      </c>
      <c r="K4">
        <f>H4*15%</f>
        <v>10050</v>
      </c>
      <c r="L4">
        <f>H4*10%</f>
        <v>6700</v>
      </c>
      <c r="M4">
        <f>H4*5%</f>
        <v>3350</v>
      </c>
      <c r="N4">
        <f>H4-(I4+J4+K4+L4+M4)</f>
        <v>6700</v>
      </c>
      <c r="O4">
        <f>I4*12%</f>
        <v>3216</v>
      </c>
      <c r="P4">
        <v>200</v>
      </c>
      <c r="Q4">
        <f>H4*5%</f>
        <v>3350</v>
      </c>
      <c r="R4">
        <f>O4+P4+Q4</f>
        <v>6766</v>
      </c>
      <c r="S4">
        <f>H4-R4</f>
        <v>60234</v>
      </c>
    </row>
    <row r="5" spans="1:19" x14ac:dyDescent="0.3">
      <c r="A5">
        <v>4</v>
      </c>
      <c r="B5" t="s">
        <v>30</v>
      </c>
      <c r="C5" s="1" t="s">
        <v>49</v>
      </c>
      <c r="D5" t="s">
        <v>31</v>
      </c>
      <c r="E5" t="s">
        <v>32</v>
      </c>
      <c r="F5" t="s">
        <v>22</v>
      </c>
      <c r="G5" t="s">
        <v>23</v>
      </c>
      <c r="H5">
        <v>50000</v>
      </c>
      <c r="I5">
        <f>H5*40%</f>
        <v>20000</v>
      </c>
      <c r="J5">
        <f>H5*20%</f>
        <v>10000</v>
      </c>
      <c r="K5">
        <f>H5*15%</f>
        <v>7500</v>
      </c>
      <c r="L5">
        <f>H5*10%</f>
        <v>5000</v>
      </c>
      <c r="M5">
        <f>H5*5%</f>
        <v>2500</v>
      </c>
      <c r="N5">
        <f>H5-(I5+J5+K5+L5+M5)</f>
        <v>5000</v>
      </c>
      <c r="O5">
        <f>I5*12%</f>
        <v>2400</v>
      </c>
      <c r="P5">
        <v>200</v>
      </c>
      <c r="Q5">
        <f>H5*5%</f>
        <v>2500</v>
      </c>
      <c r="R5">
        <f>O5+P5+Q5</f>
        <v>5100</v>
      </c>
      <c r="S5">
        <f>H5-R5</f>
        <v>44900</v>
      </c>
    </row>
    <row r="6" spans="1:19" x14ac:dyDescent="0.3">
      <c r="A6">
        <v>5</v>
      </c>
      <c r="B6" t="s">
        <v>33</v>
      </c>
      <c r="C6" s="1" t="s">
        <v>50</v>
      </c>
      <c r="D6" t="s">
        <v>34</v>
      </c>
      <c r="E6" t="s">
        <v>35</v>
      </c>
      <c r="F6" t="s">
        <v>22</v>
      </c>
      <c r="G6" t="s">
        <v>23</v>
      </c>
      <c r="H6">
        <v>80000</v>
      </c>
      <c r="I6">
        <f>H6*40%</f>
        <v>32000</v>
      </c>
      <c r="J6">
        <f>H6*20%</f>
        <v>16000</v>
      </c>
      <c r="K6">
        <f>H6*15%</f>
        <v>12000</v>
      </c>
      <c r="L6">
        <f>H6*10%</f>
        <v>8000</v>
      </c>
      <c r="M6">
        <f>H6*5%</f>
        <v>4000</v>
      </c>
      <c r="N6">
        <f>H6-(I6+J6+K6+L6+M6)</f>
        <v>8000</v>
      </c>
      <c r="O6">
        <f>I6*12%</f>
        <v>3840</v>
      </c>
      <c r="P6">
        <v>200</v>
      </c>
      <c r="Q6">
        <f>H6*5%</f>
        <v>4000</v>
      </c>
      <c r="R6">
        <f>O6+P6+Q6</f>
        <v>8040</v>
      </c>
      <c r="S6">
        <f>H6-R6</f>
        <v>71960</v>
      </c>
    </row>
  </sheetData>
  <hyperlinks>
    <hyperlink ref="C2" r:id="rId1" display="rahulbawa@example.com" xr:uid="{00000000-0004-0000-0000-000000000000}"/>
    <hyperlink ref="C3" r:id="rId2" display="yogesh@example.com" xr:uid="{00000000-0004-0000-0000-000001000000}"/>
    <hyperlink ref="C4" r:id="rId3" display="yuvraj12@example.com" xr:uid="{00000000-0004-0000-0000-000002000000}"/>
    <hyperlink ref="C5" r:id="rId4" display="rajan123@example.com" xr:uid="{00000000-0004-0000-0000-000003000000}"/>
    <hyperlink ref="C6" r:id="rId5" display="rohitsingh@example.com" xr:uid="{00000000-0004-0000-0000-00000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A2E1-43FD-42C2-9F4F-0B0A6FE8D9FD}">
  <dimension ref="A1:S6"/>
  <sheetViews>
    <sheetView topLeftCell="C1" workbookViewId="0">
      <selection activeCell="J4" sqref="J4"/>
    </sheetView>
  </sheetViews>
  <sheetFormatPr defaultRowHeight="14.4" x14ac:dyDescent="0.3"/>
  <cols>
    <col min="1" max="1" width="8.77734375" customWidth="1"/>
    <col min="2" max="2" width="12.5546875" customWidth="1"/>
    <col min="3" max="3" width="25" customWidth="1"/>
    <col min="8" max="8" width="10.6640625" customWidth="1"/>
    <col min="17" max="17" width="13.5546875" customWidth="1"/>
    <col min="18" max="18" width="1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6</v>
      </c>
      <c r="B2" t="s">
        <v>40</v>
      </c>
      <c r="C2" s="1" t="s">
        <v>41</v>
      </c>
      <c r="D2" t="s">
        <v>20</v>
      </c>
      <c r="E2" t="s">
        <v>21</v>
      </c>
      <c r="F2" t="s">
        <v>22</v>
      </c>
      <c r="G2" t="s">
        <v>23</v>
      </c>
      <c r="H2">
        <v>65000</v>
      </c>
      <c r="I2">
        <f>H2*40%</f>
        <v>26000</v>
      </c>
      <c r="J2">
        <f>H2*20%</f>
        <v>13000</v>
      </c>
      <c r="K2">
        <f>H2*15%</f>
        <v>9750</v>
      </c>
      <c r="L2">
        <f>H2*10%</f>
        <v>6500</v>
      </c>
      <c r="M2">
        <f>H2*5%</f>
        <v>3250</v>
      </c>
      <c r="N2">
        <f>H2-(I2+J2+K2+L2+M2)</f>
        <v>6500</v>
      </c>
      <c r="O2">
        <f>I2*12%</f>
        <v>3120</v>
      </c>
      <c r="P2">
        <v>200</v>
      </c>
      <c r="Q2">
        <f>H2*5%</f>
        <v>3250</v>
      </c>
      <c r="R2">
        <f>O2+P2+Q2</f>
        <v>6570</v>
      </c>
      <c r="S2">
        <v>40000</v>
      </c>
    </row>
    <row r="3" spans="1:19" x14ac:dyDescent="0.3">
      <c r="A3">
        <v>7</v>
      </c>
      <c r="B3" t="s">
        <v>39</v>
      </c>
      <c r="C3" s="1" t="s">
        <v>42</v>
      </c>
      <c r="D3" t="s">
        <v>25</v>
      </c>
      <c r="E3" t="s">
        <v>26</v>
      </c>
      <c r="F3" t="s">
        <v>22</v>
      </c>
      <c r="G3" t="s">
        <v>23</v>
      </c>
      <c r="H3">
        <v>55000</v>
      </c>
      <c r="I3">
        <f>H3*40%</f>
        <v>22000</v>
      </c>
      <c r="J3">
        <f>H3*20%</f>
        <v>11000</v>
      </c>
      <c r="K3">
        <f>H3*15%</f>
        <v>8250</v>
      </c>
      <c r="L3">
        <f>H3*10%</f>
        <v>5500</v>
      </c>
      <c r="M3">
        <f>H3*5%</f>
        <v>2750</v>
      </c>
      <c r="N3">
        <f>H3-(I3+J3+K3+L3+M3)</f>
        <v>5500</v>
      </c>
      <c r="O3">
        <f>I3*12%</f>
        <v>2640</v>
      </c>
      <c r="P3">
        <v>200</v>
      </c>
      <c r="Q3">
        <f>H3*5%</f>
        <v>2750</v>
      </c>
      <c r="R3">
        <f>O3+P3+Q3</f>
        <v>5590</v>
      </c>
      <c r="S3">
        <v>45000</v>
      </c>
    </row>
    <row r="4" spans="1:19" x14ac:dyDescent="0.3">
      <c r="A4">
        <v>8</v>
      </c>
      <c r="B4" t="s">
        <v>38</v>
      </c>
      <c r="C4" s="1" t="s">
        <v>43</v>
      </c>
      <c r="D4" t="s">
        <v>28</v>
      </c>
      <c r="E4" t="s">
        <v>29</v>
      </c>
      <c r="F4" t="s">
        <v>22</v>
      </c>
      <c r="G4" t="s">
        <v>23</v>
      </c>
      <c r="H4">
        <v>67000</v>
      </c>
      <c r="I4">
        <f>H4*40%</f>
        <v>26800</v>
      </c>
      <c r="J4">
        <f>H4*20%</f>
        <v>13400</v>
      </c>
      <c r="K4">
        <f>H4*15%</f>
        <v>10050</v>
      </c>
      <c r="L4">
        <f>H4*10%</f>
        <v>6700</v>
      </c>
      <c r="M4">
        <f>H4*5%</f>
        <v>3350</v>
      </c>
      <c r="N4">
        <f>H4-(I4+J4+K4+L4+M4)</f>
        <v>6700</v>
      </c>
      <c r="O4">
        <f>I4*12%</f>
        <v>3216</v>
      </c>
      <c r="P4">
        <v>200</v>
      </c>
      <c r="Q4">
        <f>H4*5%</f>
        <v>3350</v>
      </c>
      <c r="R4">
        <f>O4+P4+Q4</f>
        <v>6766</v>
      </c>
      <c r="S4">
        <v>50000</v>
      </c>
    </row>
    <row r="5" spans="1:19" x14ac:dyDescent="0.3">
      <c r="A5">
        <v>9</v>
      </c>
      <c r="B5" t="s">
        <v>37</v>
      </c>
      <c r="C5" s="1" t="s">
        <v>44</v>
      </c>
      <c r="D5" t="s">
        <v>31</v>
      </c>
      <c r="E5" t="s">
        <v>32</v>
      </c>
      <c r="F5" t="s">
        <v>22</v>
      </c>
      <c r="G5" t="s">
        <v>23</v>
      </c>
      <c r="H5">
        <v>50000</v>
      </c>
      <c r="I5">
        <f>H5*40%</f>
        <v>20000</v>
      </c>
      <c r="J5">
        <f>H5*20%</f>
        <v>10000</v>
      </c>
      <c r="K5">
        <f>H5*15%</f>
        <v>7500</v>
      </c>
      <c r="L5">
        <f>H5*10%</f>
        <v>5000</v>
      </c>
      <c r="M5">
        <f>H5*5%</f>
        <v>2500</v>
      </c>
      <c r="N5">
        <f>H5-(I5+J5+K5+L5+M5)</f>
        <v>5000</v>
      </c>
      <c r="O5">
        <f>I5*12%</f>
        <v>2400</v>
      </c>
      <c r="P5">
        <v>200</v>
      </c>
      <c r="Q5">
        <f>H5*5%</f>
        <v>2500</v>
      </c>
      <c r="R5">
        <f>O5+P5+Q5</f>
        <v>5100</v>
      </c>
      <c r="S5">
        <v>55000</v>
      </c>
    </row>
    <row r="6" spans="1:19" x14ac:dyDescent="0.3">
      <c r="A6">
        <v>10</v>
      </c>
      <c r="B6" t="s">
        <v>36</v>
      </c>
      <c r="C6" s="1" t="s">
        <v>45</v>
      </c>
      <c r="D6" t="s">
        <v>34</v>
      </c>
      <c r="E6" t="s">
        <v>35</v>
      </c>
      <c r="F6" t="s">
        <v>22</v>
      </c>
      <c r="G6" t="s">
        <v>23</v>
      </c>
      <c r="H6">
        <v>80000</v>
      </c>
      <c r="I6">
        <f>H6*40%</f>
        <v>32000</v>
      </c>
      <c r="J6">
        <f>H6*20%</f>
        <v>16000</v>
      </c>
      <c r="K6">
        <f>H6*15%</f>
        <v>12000</v>
      </c>
      <c r="L6">
        <f>H6*10%</f>
        <v>8000</v>
      </c>
      <c r="M6">
        <f>H6*5%</f>
        <v>4000</v>
      </c>
      <c r="N6">
        <f>H6-(I6+J6+K6+L6+M6)</f>
        <v>8000</v>
      </c>
      <c r="O6">
        <f>I6*12%</f>
        <v>3840</v>
      </c>
      <c r="P6">
        <v>200</v>
      </c>
      <c r="Q6">
        <f>H6*5%</f>
        <v>4000</v>
      </c>
      <c r="R6">
        <f>O6+P6+Q6</f>
        <v>8040</v>
      </c>
      <c r="S6">
        <v>60000</v>
      </c>
    </row>
  </sheetData>
  <hyperlinks>
    <hyperlink ref="C2" r:id="rId1" display="aaravsharma@example.com" xr:uid="{556CE2AA-51FB-421E-AB96-2752AF5C4245}"/>
    <hyperlink ref="C3" r:id="rId2" display="priyasingh@example.com" xr:uid="{0F593B94-0E80-4C57-B792-D195EFF77B8F}"/>
    <hyperlink ref="C4" r:id="rId3" display="rahulverma@example.com" xr:uid="{F93695DA-597F-47DA-96C3-16BB1C92EDC4}"/>
    <hyperlink ref="C5" r:id="rId4" display="nehagupta@example.com" xr:uid="{FDD1FA13-6766-42ED-878E-B194371EB2F2}"/>
    <hyperlink ref="C6" r:id="rId5" display="karanmehta@example.com" xr:uid="{779F6866-5A5A-4DF2-8804-EDB1D7E423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 Records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sahanii7887@gmail.com</cp:lastModifiedBy>
  <dcterms:created xsi:type="dcterms:W3CDTF">2026-07-22T16:18:05Z</dcterms:created>
  <dcterms:modified xsi:type="dcterms:W3CDTF">2026-07-23T07:23:02Z</dcterms:modified>
</cp:coreProperties>
</file>