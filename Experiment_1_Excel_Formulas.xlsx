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jan\Downloads\"/>
    </mc:Choice>
  </mc:AlternateContent>
  <xr:revisionPtr revIDLastSave="0" documentId="13_ncr:1_{AFF5DF87-079F-43D9-8881-F5B401FBDE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sult 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O5" i="1"/>
  <c r="D19" i="1"/>
  <c r="D20" i="1"/>
  <c r="D21" i="1"/>
  <c r="O14" i="1"/>
  <c r="G14" i="1"/>
  <c r="H14" i="1" s="1"/>
  <c r="O13" i="1"/>
  <c r="G13" i="1"/>
  <c r="H13" i="1" s="1"/>
  <c r="O12" i="1"/>
  <c r="G12" i="1"/>
  <c r="H12" i="1" s="1"/>
  <c r="O11" i="1"/>
  <c r="G11" i="1"/>
  <c r="H11" i="1" s="1"/>
  <c r="O10" i="1"/>
  <c r="G10" i="1"/>
  <c r="O9" i="1"/>
  <c r="G9" i="1"/>
  <c r="H9" i="1" s="1"/>
  <c r="O8" i="1"/>
  <c r="G8" i="1"/>
  <c r="H8" i="1" s="1"/>
  <c r="O7" i="1"/>
  <c r="G7" i="1"/>
  <c r="B20" i="1" s="1"/>
  <c r="O6" i="1"/>
  <c r="G6" i="1"/>
  <c r="H6" i="1" s="1"/>
  <c r="G5" i="1"/>
  <c r="B21" i="1" l="1"/>
  <c r="B19" i="1"/>
  <c r="M14" i="1"/>
  <c r="L14" i="1"/>
  <c r="N14" i="1" s="1"/>
  <c r="K14" i="1"/>
  <c r="M9" i="1"/>
  <c r="L9" i="1"/>
  <c r="N9" i="1" s="1"/>
  <c r="K9" i="1"/>
  <c r="M13" i="1"/>
  <c r="L13" i="1"/>
  <c r="N13" i="1" s="1"/>
  <c r="K13" i="1"/>
  <c r="M6" i="1"/>
  <c r="L6" i="1"/>
  <c r="N6" i="1" s="1"/>
  <c r="K6" i="1"/>
  <c r="M11" i="1"/>
  <c r="L11" i="1"/>
  <c r="N11" i="1" s="1"/>
  <c r="K11" i="1"/>
  <c r="M8" i="1"/>
  <c r="L8" i="1"/>
  <c r="N8" i="1" s="1"/>
  <c r="K8" i="1"/>
  <c r="M12" i="1"/>
  <c r="L12" i="1"/>
  <c r="N12" i="1" s="1"/>
  <c r="K12" i="1"/>
  <c r="H5" i="1"/>
  <c r="H7" i="1"/>
  <c r="H10" i="1"/>
  <c r="C21" i="1" l="1"/>
  <c r="M10" i="1"/>
  <c r="L10" i="1"/>
  <c r="N10" i="1" s="1"/>
  <c r="K10" i="1"/>
  <c r="M7" i="1"/>
  <c r="C20" i="1"/>
  <c r="L7" i="1"/>
  <c r="N7" i="1" s="1"/>
  <c r="K7" i="1"/>
  <c r="M5" i="1"/>
  <c r="L5" i="1"/>
  <c r="N5" i="1" s="1"/>
  <c r="K5" i="1"/>
  <c r="J5" i="1"/>
  <c r="C19" i="1"/>
</calcChain>
</file>

<file path=xl/sharedStrings.xml><?xml version="1.0" encoding="utf-8"?>
<sst xmlns="http://schemas.openxmlformats.org/spreadsheetml/2006/main" count="44" uniqueCount="33">
  <si>
    <t>S.No</t>
  </si>
  <si>
    <t>Student Name</t>
  </si>
  <si>
    <t>Class</t>
  </si>
  <si>
    <t>Maths
(100)</t>
  </si>
  <si>
    <t>Science
(100)</t>
  </si>
  <si>
    <t>English
(100)</t>
  </si>
  <si>
    <t>Total
(300)</t>
  </si>
  <si>
    <t>A</t>
  </si>
  <si>
    <t>Isha Verma</t>
  </si>
  <si>
    <t>Kabir Singh</t>
  </si>
  <si>
    <t>B</t>
  </si>
  <si>
    <t>Diya Mehta</t>
  </si>
  <si>
    <t>Rohan Gupta</t>
  </si>
  <si>
    <t>Ananya Rao</t>
  </si>
  <si>
    <t>C</t>
  </si>
  <si>
    <t>Vivaan Nair</t>
  </si>
  <si>
    <t>Saanvi Iyer</t>
  </si>
  <si>
    <t>Arjun Das</t>
  </si>
  <si>
    <t>Meera Pillai</t>
  </si>
  <si>
    <t xml:space="preserve">Class-wise Summary </t>
  </si>
  <si>
    <t xml:space="preserve"> Student Result Sheet </t>
  </si>
  <si>
    <t xml:space="preserve">Maths:Science
Ratio </t>
  </si>
  <si>
    <t xml:space="preserve">Not
Eligible </t>
  </si>
  <si>
    <t xml:space="preserve">Needs
Attention </t>
  </si>
  <si>
    <t xml:space="preserve">Scholarship
Eligible </t>
  </si>
  <si>
    <t>Grade</t>
  </si>
  <si>
    <t>Result</t>
  </si>
  <si>
    <t>Attendance</t>
  </si>
  <si>
    <t>Percentage</t>
  </si>
  <si>
    <t>No. of Students</t>
  </si>
  <si>
    <t xml:space="preserve">Average % </t>
  </si>
  <si>
    <t>Total Marks</t>
  </si>
  <si>
    <t>Sanu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</si>
</sst>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%"/>
    <numFmt numFmtId="165" formatCode="0\%"/>
  </numFmts>
  <fonts count="12" x14ac:knownFonts="1">
    <font>
      <sz val="11"/>
      <color theme="1"/>
      <name val="Calibri"/>
      <family val="2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b/>
      <sz val="16"/>
      <color rgb="FFFFFFFF"/>
      <name val="Arial"/>
      <family val="2"/>
    </font>
    <font>
      <b/>
      <sz val="18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rgb="FF003366"/>
      </patternFill>
    </fill>
    <fill>
      <patternFill patternType="solid">
        <fgColor theme="1" tint="0.34998626667073579"/>
        <bgColor rgb="FF0066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wrapText="1"/>
    </xf>
    <xf numFmtId="0" fontId="9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2"/>
  <sheetViews>
    <sheetView showGridLines="0" tabSelected="1" zoomScaleNormal="100" workbookViewId="0">
      <pane ySplit="4" topLeftCell="A5" activePane="bottomLeft" state="frozen"/>
      <selection pane="bottomLeft" activeCell="R7" sqref="R7"/>
    </sheetView>
  </sheetViews>
  <sheetFormatPr defaultColWidth="8.6640625" defaultRowHeight="14.4" x14ac:dyDescent="0.3"/>
  <cols>
    <col min="1" max="1" width="5.77734375" bestFit="1" customWidth="1"/>
    <col min="2" max="2" width="13.44140625" bestFit="1" customWidth="1"/>
    <col min="3" max="3" width="12.77734375" bestFit="1" customWidth="1"/>
    <col min="4" max="4" width="14.77734375" bestFit="1" customWidth="1"/>
    <col min="5" max="5" width="7.77734375" bestFit="1" customWidth="1"/>
    <col min="6" max="6" width="7.44140625" bestFit="1" customWidth="1"/>
    <col min="7" max="7" width="5.33203125" bestFit="1" customWidth="1"/>
    <col min="8" max="9" width="10.88671875" bestFit="1" customWidth="1"/>
    <col min="10" max="10" width="6.5546875" bestFit="1" customWidth="1"/>
    <col min="11" max="11" width="10.5546875" bestFit="1" customWidth="1"/>
    <col min="12" max="12" width="13.109375" bestFit="1" customWidth="1"/>
    <col min="13" max="13" width="9" bestFit="1" customWidth="1"/>
    <col min="14" max="14" width="13.44140625" bestFit="1" customWidth="1"/>
    <col min="15" max="15" width="11.6640625" bestFit="1" customWidth="1"/>
    <col min="16" max="16" width="11.6640625" customWidth="1"/>
  </cols>
  <sheetData>
    <row r="2" spans="1:17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22.8" customHeight="1" x14ac:dyDescent="0.3">
      <c r="A3" s="14" t="s">
        <v>20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ht="39.6" x14ac:dyDescent="0.3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1" t="s">
        <v>28</v>
      </c>
      <c r="I4" s="11" t="s">
        <v>27</v>
      </c>
      <c r="J4" s="11" t="s">
        <v>26</v>
      </c>
      <c r="K4" s="11" t="s">
        <v>25</v>
      </c>
      <c r="L4" s="11" t="s">
        <v>24</v>
      </c>
      <c r="M4" s="11" t="s">
        <v>23</v>
      </c>
      <c r="N4" s="11" t="s">
        <v>22</v>
      </c>
      <c r="O4" s="11" t="s">
        <v>21</v>
      </c>
    </row>
    <row r="5" spans="1:17" x14ac:dyDescent="0.3">
      <c r="A5" s="1">
        <v>1</v>
      </c>
      <c r="B5" s="12" t="s">
        <v>32</v>
      </c>
      <c r="C5" s="1" t="s">
        <v>7</v>
      </c>
      <c r="D5" s="3">
        <v>88</v>
      </c>
      <c r="E5" s="3">
        <v>92</v>
      </c>
      <c r="F5" s="3">
        <v>79</v>
      </c>
      <c r="G5" s="1">
        <f t="shared" ref="G5:G14" si="0">SUM(D5:F5)</f>
        <v>259</v>
      </c>
      <c r="H5" s="4">
        <f t="shared" ref="H5:H14" si="1">ROUND(G5/300*100,2)</f>
        <v>86.33</v>
      </c>
      <c r="I5" s="5">
        <v>95</v>
      </c>
      <c r="J5" s="1" t="str">
        <f t="shared" ref="J5:J14" si="2">IF(H5&gt;=40,"Pass","Fail")</f>
        <v>Pass</v>
      </c>
      <c r="K5" s="1" t="str">
        <f t="shared" ref="K5:K14" si="3">IF(H5&gt;=90,"A+",IF(H5&gt;=75,"A",IF(H5&gt;=60,"B",IF(H5&gt;=40,"C","F"))))</f>
        <v>A</v>
      </c>
      <c r="L5" s="1" t="str">
        <f t="shared" ref="L5:L14" si="4">IF(AND(H5&gt;=75,I5&gt;=90),"Yes","No")</f>
        <v>Yes</v>
      </c>
      <c r="M5" s="1" t="str">
        <f t="shared" ref="M5:M14" si="5">IF(OR(H5&lt;40,I5&lt;75),"Yes","No")</f>
        <v>No</v>
      </c>
      <c r="N5" s="1" t="str">
        <f t="shared" ref="N5:N14" si="6">IF(NOT(L5="Yes"),"No Scholarship","Eligible")</f>
        <v>Eligible</v>
      </c>
      <c r="O5" s="1">
        <f t="shared" ref="O5:O14" si="7">IFERROR(ROUND(D5/E5,2),"Data Missing")</f>
        <v>0.96</v>
      </c>
      <c r="P5" s="9"/>
    </row>
    <row r="6" spans="1:17" x14ac:dyDescent="0.3">
      <c r="A6" s="1">
        <v>2</v>
      </c>
      <c r="B6" s="2" t="s">
        <v>8</v>
      </c>
      <c r="C6" s="1" t="s">
        <v>7</v>
      </c>
      <c r="D6" s="3">
        <v>45</v>
      </c>
      <c r="E6" s="3">
        <v>38</v>
      </c>
      <c r="F6" s="3">
        <v>52</v>
      </c>
      <c r="G6" s="1">
        <f t="shared" si="0"/>
        <v>135</v>
      </c>
      <c r="H6" s="4">
        <f t="shared" si="1"/>
        <v>45</v>
      </c>
      <c r="I6" s="5">
        <v>68</v>
      </c>
      <c r="J6" s="1" t="str">
        <f t="shared" si="2"/>
        <v>Pass</v>
      </c>
      <c r="K6" s="1" t="str">
        <f t="shared" si="3"/>
        <v>C</v>
      </c>
      <c r="L6" s="1" t="str">
        <f t="shared" si="4"/>
        <v>No</v>
      </c>
      <c r="M6" s="1" t="str">
        <f t="shared" si="5"/>
        <v>Yes</v>
      </c>
      <c r="N6" s="1" t="str">
        <f t="shared" si="6"/>
        <v>No Scholarship</v>
      </c>
      <c r="O6" s="1">
        <f t="shared" si="7"/>
        <v>1.18</v>
      </c>
      <c r="P6" s="9"/>
    </row>
    <row r="7" spans="1:17" x14ac:dyDescent="0.3">
      <c r="A7" s="1">
        <v>3</v>
      </c>
      <c r="B7" s="2" t="s">
        <v>9</v>
      </c>
      <c r="C7" s="1" t="s">
        <v>10</v>
      </c>
      <c r="D7" s="3">
        <v>91</v>
      </c>
      <c r="E7" s="3">
        <v>95</v>
      </c>
      <c r="F7" s="3">
        <v>89</v>
      </c>
      <c r="G7" s="1">
        <f t="shared" si="0"/>
        <v>275</v>
      </c>
      <c r="H7" s="4">
        <f t="shared" si="1"/>
        <v>91.67</v>
      </c>
      <c r="I7" s="5">
        <v>97</v>
      </c>
      <c r="J7" s="1" t="str">
        <f t="shared" si="2"/>
        <v>Pass</v>
      </c>
      <c r="K7" s="1" t="str">
        <f t="shared" si="3"/>
        <v>A+</v>
      </c>
      <c r="L7" s="1" t="str">
        <f t="shared" si="4"/>
        <v>Yes</v>
      </c>
      <c r="M7" s="1" t="str">
        <f t="shared" si="5"/>
        <v>No</v>
      </c>
      <c r="N7" s="1" t="str">
        <f t="shared" si="6"/>
        <v>Eligible</v>
      </c>
      <c r="O7" s="1">
        <f t="shared" si="7"/>
        <v>0.96</v>
      </c>
      <c r="P7" s="9"/>
    </row>
    <row r="8" spans="1:17" x14ac:dyDescent="0.3">
      <c r="A8" s="1">
        <v>4</v>
      </c>
      <c r="B8" s="2" t="s">
        <v>11</v>
      </c>
      <c r="C8" s="1" t="s">
        <v>10</v>
      </c>
      <c r="D8" s="3">
        <v>76</v>
      </c>
      <c r="E8" s="3"/>
      <c r="F8" s="3">
        <v>81</v>
      </c>
      <c r="G8" s="1">
        <f t="shared" si="0"/>
        <v>157</v>
      </c>
      <c r="H8" s="4">
        <f>ROUND(G8/300*100,2)</f>
        <v>52.33</v>
      </c>
      <c r="I8" s="5">
        <v>88</v>
      </c>
      <c r="J8" s="1" t="str">
        <f t="shared" si="2"/>
        <v>Pass</v>
      </c>
      <c r="K8" s="1" t="str">
        <f t="shared" si="3"/>
        <v>C</v>
      </c>
      <c r="L8" s="1" t="str">
        <f t="shared" si="4"/>
        <v>No</v>
      </c>
      <c r="M8" s="1" t="str">
        <f t="shared" si="5"/>
        <v>No</v>
      </c>
      <c r="N8" s="1" t="str">
        <f t="shared" si="6"/>
        <v>No Scholarship</v>
      </c>
      <c r="O8" s="1" t="str">
        <f t="shared" si="7"/>
        <v>Data Missing</v>
      </c>
      <c r="P8" s="9"/>
    </row>
    <row r="9" spans="1:17" x14ac:dyDescent="0.3">
      <c r="A9" s="1">
        <v>5</v>
      </c>
      <c r="B9" s="2" t="s">
        <v>12</v>
      </c>
      <c r="C9" s="1" t="s">
        <v>7</v>
      </c>
      <c r="D9" s="3">
        <v>33</v>
      </c>
      <c r="E9" s="3">
        <v>29</v>
      </c>
      <c r="F9" s="3">
        <v>41</v>
      </c>
      <c r="G9" s="1">
        <f t="shared" si="0"/>
        <v>103</v>
      </c>
      <c r="H9" s="4">
        <f t="shared" si="1"/>
        <v>34.33</v>
      </c>
      <c r="I9" s="5">
        <v>60</v>
      </c>
      <c r="J9" s="1" t="str">
        <f t="shared" si="2"/>
        <v>Fail</v>
      </c>
      <c r="K9" s="1" t="str">
        <f t="shared" si="3"/>
        <v>F</v>
      </c>
      <c r="L9" s="1" t="str">
        <f t="shared" si="4"/>
        <v>No</v>
      </c>
      <c r="M9" s="1" t="str">
        <f t="shared" si="5"/>
        <v>Yes</v>
      </c>
      <c r="N9" s="1" t="str">
        <f t="shared" si="6"/>
        <v>No Scholarship</v>
      </c>
      <c r="O9" s="1">
        <f t="shared" si="7"/>
        <v>1.1399999999999999</v>
      </c>
      <c r="P9" s="9"/>
    </row>
    <row r="10" spans="1:17" x14ac:dyDescent="0.3">
      <c r="A10" s="1">
        <v>6</v>
      </c>
      <c r="B10" s="2" t="s">
        <v>13</v>
      </c>
      <c r="C10" s="1" t="s">
        <v>14</v>
      </c>
      <c r="D10" s="3">
        <v>67</v>
      </c>
      <c r="E10" s="3">
        <v>71</v>
      </c>
      <c r="F10" s="3">
        <v>65</v>
      </c>
      <c r="G10" s="1">
        <f t="shared" si="0"/>
        <v>203</v>
      </c>
      <c r="H10" s="4">
        <f t="shared" si="1"/>
        <v>67.67</v>
      </c>
      <c r="I10" s="5">
        <v>82</v>
      </c>
      <c r="J10" s="1" t="str">
        <f t="shared" si="2"/>
        <v>Pass</v>
      </c>
      <c r="K10" s="1" t="str">
        <f t="shared" si="3"/>
        <v>B</v>
      </c>
      <c r="L10" s="1" t="str">
        <f t="shared" si="4"/>
        <v>No</v>
      </c>
      <c r="M10" s="1" t="str">
        <f t="shared" si="5"/>
        <v>No</v>
      </c>
      <c r="N10" s="1" t="str">
        <f t="shared" si="6"/>
        <v>No Scholarship</v>
      </c>
      <c r="O10" s="1">
        <f t="shared" si="7"/>
        <v>0.94</v>
      </c>
      <c r="P10" s="9"/>
    </row>
    <row r="11" spans="1:17" x14ac:dyDescent="0.3">
      <c r="A11" s="1">
        <v>7</v>
      </c>
      <c r="B11" s="2" t="s">
        <v>15</v>
      </c>
      <c r="C11" s="1" t="s">
        <v>14</v>
      </c>
      <c r="D11" s="3">
        <v>55</v>
      </c>
      <c r="E11" s="3">
        <v>60</v>
      </c>
      <c r="F11" s="3">
        <v>58</v>
      </c>
      <c r="G11" s="1">
        <f t="shared" si="0"/>
        <v>173</v>
      </c>
      <c r="H11" s="4">
        <f t="shared" si="1"/>
        <v>57.67</v>
      </c>
      <c r="I11" s="5">
        <v>74</v>
      </c>
      <c r="J11" s="1" t="str">
        <f t="shared" si="2"/>
        <v>Pass</v>
      </c>
      <c r="K11" s="1" t="str">
        <f t="shared" si="3"/>
        <v>C</v>
      </c>
      <c r="L11" s="1" t="str">
        <f t="shared" si="4"/>
        <v>No</v>
      </c>
      <c r="M11" s="1" t="str">
        <f t="shared" si="5"/>
        <v>Yes</v>
      </c>
      <c r="N11" s="1" t="str">
        <f t="shared" si="6"/>
        <v>No Scholarship</v>
      </c>
      <c r="O11" s="1">
        <f t="shared" si="7"/>
        <v>0.92</v>
      </c>
      <c r="P11" s="9"/>
    </row>
    <row r="12" spans="1:17" x14ac:dyDescent="0.3">
      <c r="A12" s="1">
        <v>8</v>
      </c>
      <c r="B12" s="2" t="s">
        <v>16</v>
      </c>
      <c r="C12" s="1" t="s">
        <v>10</v>
      </c>
      <c r="D12" s="3">
        <v>96</v>
      </c>
      <c r="E12" s="3">
        <v>98</v>
      </c>
      <c r="F12" s="3">
        <v>94</v>
      </c>
      <c r="G12" s="1">
        <f t="shared" si="0"/>
        <v>288</v>
      </c>
      <c r="H12" s="4">
        <f t="shared" si="1"/>
        <v>96</v>
      </c>
      <c r="I12" s="5">
        <v>99</v>
      </c>
      <c r="J12" s="1" t="str">
        <f t="shared" si="2"/>
        <v>Pass</v>
      </c>
      <c r="K12" s="1" t="str">
        <f t="shared" si="3"/>
        <v>A+</v>
      </c>
      <c r="L12" s="1" t="str">
        <f t="shared" si="4"/>
        <v>Yes</v>
      </c>
      <c r="M12" s="1" t="str">
        <f t="shared" si="5"/>
        <v>No</v>
      </c>
      <c r="N12" s="1" t="str">
        <f t="shared" si="6"/>
        <v>Eligible</v>
      </c>
      <c r="O12" s="1">
        <f t="shared" si="7"/>
        <v>0.98</v>
      </c>
      <c r="P12" s="9"/>
    </row>
    <row r="13" spans="1:17" x14ac:dyDescent="0.3">
      <c r="A13" s="1">
        <v>9</v>
      </c>
      <c r="B13" s="2" t="s">
        <v>17</v>
      </c>
      <c r="C13" s="1" t="s">
        <v>7</v>
      </c>
      <c r="D13" s="3">
        <v>40</v>
      </c>
      <c r="E13" s="3">
        <v>39</v>
      </c>
      <c r="F13" s="3">
        <v>44</v>
      </c>
      <c r="G13" s="1">
        <f t="shared" si="0"/>
        <v>123</v>
      </c>
      <c r="H13" s="4">
        <f t="shared" si="1"/>
        <v>41</v>
      </c>
      <c r="I13" s="5">
        <v>65</v>
      </c>
      <c r="J13" s="1" t="str">
        <f t="shared" si="2"/>
        <v>Pass</v>
      </c>
      <c r="K13" s="1" t="str">
        <f t="shared" si="3"/>
        <v>C</v>
      </c>
      <c r="L13" s="1" t="str">
        <f t="shared" si="4"/>
        <v>No</v>
      </c>
      <c r="M13" s="1" t="str">
        <f t="shared" si="5"/>
        <v>Yes</v>
      </c>
      <c r="N13" s="1" t="str">
        <f t="shared" si="6"/>
        <v>No Scholarship</v>
      </c>
      <c r="O13" s="1">
        <f t="shared" si="7"/>
        <v>1.03</v>
      </c>
      <c r="P13" s="9"/>
    </row>
    <row r="14" spans="1:17" x14ac:dyDescent="0.3">
      <c r="A14" s="1">
        <v>10</v>
      </c>
      <c r="B14" s="2" t="s">
        <v>18</v>
      </c>
      <c r="C14" s="1" t="s">
        <v>14</v>
      </c>
      <c r="D14" s="3">
        <v>82</v>
      </c>
      <c r="E14" s="3">
        <v>79</v>
      </c>
      <c r="F14" s="3">
        <v>85</v>
      </c>
      <c r="G14" s="1">
        <f t="shared" si="0"/>
        <v>246</v>
      </c>
      <c r="H14" s="4">
        <f t="shared" si="1"/>
        <v>82</v>
      </c>
      <c r="I14" s="5">
        <v>91</v>
      </c>
      <c r="J14" s="1" t="str">
        <f t="shared" si="2"/>
        <v>Pass</v>
      </c>
      <c r="K14" s="1" t="str">
        <f t="shared" si="3"/>
        <v>A</v>
      </c>
      <c r="L14" s="1" t="str">
        <f t="shared" si="4"/>
        <v>Yes</v>
      </c>
      <c r="M14" s="1" t="str">
        <f t="shared" si="5"/>
        <v>No</v>
      </c>
      <c r="N14" s="1" t="str">
        <f t="shared" si="6"/>
        <v>Eligible</v>
      </c>
      <c r="O14" s="1">
        <f t="shared" si="7"/>
        <v>1.04</v>
      </c>
      <c r="P14" s="9"/>
    </row>
    <row r="16" spans="1:17" ht="21" x14ac:dyDescent="0.3">
      <c r="A16" s="16" t="s">
        <v>19</v>
      </c>
      <c r="B16" s="16"/>
      <c r="C16" s="16"/>
      <c r="D16" s="16"/>
      <c r="E16" s="16"/>
    </row>
    <row r="17" spans="1:16" ht="14.4" customHeight="1" x14ac:dyDescent="0.3"/>
    <row r="18" spans="1:16" x14ac:dyDescent="0.3">
      <c r="A18" s="10" t="s">
        <v>2</v>
      </c>
      <c r="B18" s="11" t="s">
        <v>31</v>
      </c>
      <c r="C18" s="11" t="s">
        <v>30</v>
      </c>
      <c r="D18" s="11" t="s">
        <v>29</v>
      </c>
    </row>
    <row r="19" spans="1:16" x14ac:dyDescent="0.3">
      <c r="A19" s="6" t="s">
        <v>7</v>
      </c>
      <c r="B19" s="1">
        <f>SUMIF(C5:C14,A19,G5:G14)</f>
        <v>620</v>
      </c>
      <c r="C19" s="4">
        <f>ROUND(AVERAGEIF(C5:C14,A19,H5:H14),2)</f>
        <v>51.67</v>
      </c>
      <c r="D19" s="1">
        <f>COUNTIF(C5:C14,A19)</f>
        <v>4</v>
      </c>
    </row>
    <row r="20" spans="1:16" x14ac:dyDescent="0.3">
      <c r="A20" s="6" t="s">
        <v>10</v>
      </c>
      <c r="B20" s="1">
        <f>SUMIF(C5:C14,A20,G5:G14)</f>
        <v>720</v>
      </c>
      <c r="C20" s="4">
        <f>ROUND(AVERAGEIF(C5:C14,A20,H5:H14),2)</f>
        <v>80</v>
      </c>
      <c r="D20" s="1">
        <f>COUNTIF(C5:C14,A20)</f>
        <v>3</v>
      </c>
    </row>
    <row r="21" spans="1:16" x14ac:dyDescent="0.3">
      <c r="A21" s="6" t="s">
        <v>14</v>
      </c>
      <c r="B21" s="1">
        <f>SUMIF(C5:C14,A21,G5:G14)</f>
        <v>622</v>
      </c>
      <c r="C21" s="4">
        <f>ROUND(AVERAGEIF(C5:C14,A21,H5:H14),2)</f>
        <v>69.11</v>
      </c>
      <c r="D21" s="1">
        <f>COUNTIF(C5:C14,A21)</f>
        <v>3</v>
      </c>
    </row>
    <row r="24" spans="1:16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8"/>
    </row>
    <row r="25" spans="1:16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7"/>
    </row>
    <row r="26" spans="1:16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7"/>
    </row>
    <row r="27" spans="1:16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7"/>
    </row>
    <row r="28" spans="1:16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7"/>
    </row>
    <row r="29" spans="1:16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7"/>
    </row>
    <row r="30" spans="1:16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7"/>
    </row>
    <row r="31" spans="1:16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7"/>
    </row>
    <row r="32" spans="1:16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7"/>
    </row>
  </sheetData>
  <mergeCells count="12">
    <mergeCell ref="A3:Q3"/>
    <mergeCell ref="A2:Q2"/>
    <mergeCell ref="A16:E16"/>
    <mergeCell ref="A24:O24"/>
    <mergeCell ref="A25:O25"/>
    <mergeCell ref="A31:O31"/>
    <mergeCell ref="A32:O32"/>
    <mergeCell ref="A26:O26"/>
    <mergeCell ref="A27:O27"/>
    <mergeCell ref="A28:O28"/>
    <mergeCell ref="A29:O29"/>
    <mergeCell ref="A30:O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sahanii7887@gmail.com</cp:lastModifiedBy>
  <cp:revision>0</cp:revision>
  <dcterms:created xsi:type="dcterms:W3CDTF">2026-08-04T08:14:56Z</dcterms:created>
  <dcterms:modified xsi:type="dcterms:W3CDTF">2026-08-12T08:45:12Z</dcterms:modified>
  <dc:language>en-US</dc:language>
</cp:coreProperties>
</file>